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 defaultThemeVersion="166925"/>
  <xr:revisionPtr revIDLastSave="0" documentId="8_{03016E1B-1D4C-402C-A0A3-730492B55E84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definedNames>
    <definedName name="Slicer_Category">#N/A</definedName>
    <definedName name="Slicer_Stock_Status">#N/A</definedName>
    <definedName name="Slicer_Warehouse">#N/A</definedName>
  </definedNames>
  <calcPr calcId="191028"/>
  <pivotCaches>
    <pivotCache cacheId="1926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</calcChain>
</file>

<file path=xl/sharedStrings.xml><?xml version="1.0" encoding="utf-8"?>
<sst xmlns="http://schemas.openxmlformats.org/spreadsheetml/2006/main" count="106" uniqueCount="62">
  <si>
    <t>Product ID</t>
  </si>
  <si>
    <t>Product Name</t>
  </si>
  <si>
    <t>Category</t>
  </si>
  <si>
    <t>Warehouse</t>
  </si>
  <si>
    <t>Stock Quantity</t>
  </si>
  <si>
    <t>Reorder Level</t>
  </si>
  <si>
    <t>Unit Cost</t>
  </si>
  <si>
    <t>Selling Price</t>
  </si>
  <si>
    <t>Supplier</t>
  </si>
  <si>
    <t>Stock Value</t>
  </si>
  <si>
    <t>Profit per unit</t>
  </si>
  <si>
    <t>Stock Status</t>
  </si>
  <si>
    <t>P001</t>
  </si>
  <si>
    <t>Laptop</t>
  </si>
  <si>
    <t>Electronics</t>
  </si>
  <si>
    <t>Chennai</t>
  </si>
  <si>
    <t>Dell India</t>
  </si>
  <si>
    <t>P002</t>
  </si>
  <si>
    <t>Mouse</t>
  </si>
  <si>
    <t>Logitech</t>
  </si>
  <si>
    <t>P003</t>
  </si>
  <si>
    <t>Keyboard</t>
  </si>
  <si>
    <t>Bangalore</t>
  </si>
  <si>
    <t>HP India</t>
  </si>
  <si>
    <t>P004</t>
  </si>
  <si>
    <t>Office Chair</t>
  </si>
  <si>
    <t>Furniture</t>
  </si>
  <si>
    <t>Godrej</t>
  </si>
  <si>
    <t>P005</t>
  </si>
  <si>
    <t>Desk</t>
  </si>
  <si>
    <t>Ikea India</t>
  </si>
  <si>
    <t>P006</t>
  </si>
  <si>
    <t>Notebook</t>
  </si>
  <si>
    <t>Stationery</t>
  </si>
  <si>
    <t>Hyderabad</t>
  </si>
  <si>
    <t>Classmate</t>
  </si>
  <si>
    <t>P007</t>
  </si>
  <si>
    <t>Printer</t>
  </si>
  <si>
    <t>Canon India</t>
  </si>
  <si>
    <t>P008</t>
  </si>
  <si>
    <t>Water Bottle</t>
  </si>
  <si>
    <t>Cello</t>
  </si>
  <si>
    <t>P009</t>
  </si>
  <si>
    <t>Monitor</t>
  </si>
  <si>
    <t>Samsung</t>
  </si>
  <si>
    <t>P010</t>
  </si>
  <si>
    <t>Filing Cabinet</t>
  </si>
  <si>
    <t>P011</t>
  </si>
  <si>
    <t>Pen</t>
  </si>
  <si>
    <t>P012</t>
  </si>
  <si>
    <t>Scanner</t>
  </si>
  <si>
    <t>P013</t>
  </si>
  <si>
    <t>Whiteboard</t>
  </si>
  <si>
    <t>Local Supplier</t>
  </si>
  <si>
    <t>P014</t>
  </si>
  <si>
    <t>Tablet</t>
  </si>
  <si>
    <t>P015</t>
  </si>
  <si>
    <t>Bookshelf</t>
  </si>
  <si>
    <t>Sum of Stock Quantity</t>
  </si>
  <si>
    <t xml:space="preserve">                                </t>
  </si>
  <si>
    <t>Sum of Stock Value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</si>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</sst>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Bangalore
Electronics</c:v>
              </c:pt>
              <c:pt idx="1">
                <c:v>Chennai
Electronics</c:v>
              </c:pt>
              <c:pt idx="2">
                <c:v>Hyderabad
Electronics</c:v>
              </c:pt>
              <c:pt idx="3">
                <c:v>Bangalore
Furniture</c:v>
              </c:pt>
              <c:pt idx="4">
                <c:v>Chennai
Furniture</c:v>
              </c:pt>
              <c:pt idx="5">
                <c:v>Hyderabad
Furniture</c:v>
              </c:pt>
              <c:pt idx="6">
                <c:v>Chennai
Stationery</c:v>
              </c:pt>
              <c:pt idx="7">
                <c:v>Hyderabad
Stationery</c:v>
              </c:pt>
            </c:strLit>
          </c:cat>
          <c:val>
            <c:numLit>
              <c:formatCode>General</c:formatCode>
              <c:ptCount val="8"/>
              <c:pt idx="0">
                <c:v>15800</c:v>
              </c:pt>
              <c:pt idx="1">
                <c:v>55300</c:v>
              </c:pt>
              <c:pt idx="2">
                <c:v>9000</c:v>
              </c:pt>
              <c:pt idx="3">
                <c:v>12000</c:v>
              </c:pt>
              <c:pt idx="4">
                <c:v>3500</c:v>
              </c:pt>
              <c:pt idx="5">
                <c:v>6000</c:v>
              </c:pt>
              <c:pt idx="6">
                <c:v>55</c:v>
              </c:pt>
              <c:pt idx="7">
                <c:v>1520</c:v>
              </c:pt>
            </c:numLit>
          </c:val>
          <c:extLst>
            <c:ext xmlns:c16="http://schemas.microsoft.com/office/drawing/2014/chart" uri="{C3380CC4-5D6E-409C-BE32-E72D297353CC}">
              <c16:uniqueId val="{00000006-784E-4BA8-8EB4-6A2199E44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982920"/>
        <c:axId val="1355019272"/>
      </c:barChart>
      <c:catAx>
        <c:axId val="1354982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019272"/>
        <c:crosses val="autoZero"/>
        <c:auto val="1"/>
        <c:lblAlgn val="ctr"/>
        <c:lblOffset val="100"/>
        <c:noMultiLvlLbl val="0"/>
      </c:catAx>
      <c:valAx>
        <c:axId val="135501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98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Electronics</c:v>
              </c:pt>
              <c:pt idx="1">
                <c:v>Furniture</c:v>
              </c:pt>
              <c:pt idx="2">
                <c:v>Stationery</c:v>
              </c:pt>
            </c:strLit>
          </c:cat>
          <c:val>
            <c:numLit>
              <c:formatCode>General</c:formatCode>
              <c:ptCount val="3"/>
              <c:pt idx="0">
                <c:v>3156000</c:v>
              </c:pt>
              <c:pt idx="1">
                <c:v>515500</c:v>
              </c:pt>
              <c:pt idx="2">
                <c:v>78500</c:v>
              </c:pt>
            </c:numLit>
          </c:val>
          <c:extLst>
            <c:ext xmlns:c16="http://schemas.microsoft.com/office/drawing/2014/chart" uri="{C3380CC4-5D6E-409C-BE32-E72D297353CC}">
              <c16:uniqueId val="{00000000-0C30-48A6-B3A1-9ACF84B15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552136"/>
        <c:axId val="1828109320"/>
      </c:barChart>
      <c:catAx>
        <c:axId val="581552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109320"/>
        <c:crosses val="autoZero"/>
        <c:auto val="1"/>
        <c:lblAlgn val="ctr"/>
        <c:lblOffset val="100"/>
        <c:noMultiLvlLbl val="0"/>
      </c:catAx>
      <c:valAx>
        <c:axId val="1828109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552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Bangalore</c:v>
              </c:pt>
              <c:pt idx="1">
                <c:v>Chennai</c:v>
              </c:pt>
              <c:pt idx="2">
                <c:v>Hyderabad</c:v>
              </c:pt>
            </c:strLit>
          </c:cat>
          <c:val>
            <c:numLit>
              <c:formatCode>General</c:formatCode>
              <c:ptCount val="3"/>
              <c:pt idx="0">
                <c:v>242</c:v>
              </c:pt>
              <c:pt idx="1">
                <c:v>960</c:v>
              </c:pt>
              <c:pt idx="2">
                <c:v>378</c:v>
              </c:pt>
            </c:numLit>
          </c:val>
          <c:extLst>
            <c:ext xmlns:c16="http://schemas.microsoft.com/office/drawing/2014/chart" uri="{C3380CC4-5D6E-409C-BE32-E72D297353CC}">
              <c16:uniqueId val="{00000000-163F-49D3-A2A1-3DB4C3948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3988104"/>
        <c:axId val="581545992"/>
      </c:barChart>
      <c:catAx>
        <c:axId val="13539881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545992"/>
        <c:crosses val="autoZero"/>
        <c:auto val="1"/>
        <c:lblAlgn val="ctr"/>
        <c:lblOffset val="100"/>
        <c:noMultiLvlLbl val="0"/>
      </c:catAx>
      <c:valAx>
        <c:axId val="581545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988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1352550</xdr:colOff>
      <xdr:row>29</xdr:row>
      <xdr:rowOff>171450</xdr:rowOff>
    </xdr:from>
    <xdr:to>
      <xdr:col>9</xdr:col>
      <xdr:colOff>1181100</xdr:colOff>
      <xdr:row>44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7FBBA9-17CC-E394-294A-705F5057C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14</xdr:row>
      <xdr:rowOff>180975</xdr:rowOff>
    </xdr:from>
    <xdr:to>
      <xdr:col>5</xdr:col>
      <xdr:colOff>933450</xdr:colOff>
      <xdr:row>29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BA18E9-A2EC-3D5E-BE5F-5B5F7C2D82BD}"/>
            </a:ext>
            <a:ext uri="{147F2762-F138-4A5C-976F-8EAC2B608ADB}">
              <a16:predDERef xmlns:a16="http://schemas.microsoft.com/office/drawing/2014/main" pred="{0B7FBBA9-17CC-E394-294A-705F5057C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</xdr:colOff>
      <xdr:row>14</xdr:row>
      <xdr:rowOff>171450</xdr:rowOff>
    </xdr:from>
    <xdr:to>
      <xdr:col>9</xdr:col>
      <xdr:colOff>1190625</xdr:colOff>
      <xdr:row>29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9106D3-B9FB-A1AB-1C4F-CBA1E21CBC87}"/>
            </a:ext>
            <a:ext uri="{147F2762-F138-4A5C-976F-8EAC2B608ADB}">
              <a16:predDERef xmlns:a16="http://schemas.microsoft.com/office/drawing/2014/main" pred="{BBBA18E9-A2EC-3D5E-BE5F-5B5F7C2D8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6</xdr:row>
      <xdr:rowOff>171450</xdr:rowOff>
    </xdr:from>
    <xdr:to>
      <xdr:col>4</xdr:col>
      <xdr:colOff>561975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ategory">
              <a:extLst>
                <a:ext uri="{FF2B5EF4-FFF2-40B4-BE49-F238E27FC236}">
                  <a16:creationId xmlns:a16="http://schemas.microsoft.com/office/drawing/2014/main" id="{72FD8A77-4E49-A074-A9AC-D37F6DDE8EEA}"/>
                </a:ext>
                <a:ext uri="{147F2762-F138-4A5C-976F-8EAC2B608ADB}">
                  <a16:predDERef xmlns:a16="http://schemas.microsoft.com/office/drawing/2014/main" pred="{C19106D3-B9FB-A1AB-1C4F-CBA1E21CBC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3625" y="1314450"/>
              <a:ext cx="2743200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1047750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Warehouse">
              <a:extLst>
                <a:ext uri="{FF2B5EF4-FFF2-40B4-BE49-F238E27FC236}">
                  <a16:creationId xmlns:a16="http://schemas.microsoft.com/office/drawing/2014/main" id="{D730C341-86E0-65D3-2726-F797882152A8}"/>
                </a:ext>
                <a:ext uri="{147F2762-F138-4A5C-976F-8EAC2B608ADB}">
                  <a16:predDERef xmlns:a16="http://schemas.microsoft.com/office/drawing/2014/main" pred="{72FD8A77-4E49-A074-A9AC-D37F6DDE8E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arehou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05475" y="1333500"/>
              <a:ext cx="200025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400050</xdr:colOff>
      <xdr:row>6</xdr:row>
      <xdr:rowOff>171450</xdr:rowOff>
    </xdr:from>
    <xdr:to>
      <xdr:col>10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tock Status">
              <a:extLst>
                <a:ext uri="{FF2B5EF4-FFF2-40B4-BE49-F238E27FC236}">
                  <a16:creationId xmlns:a16="http://schemas.microsoft.com/office/drawing/2014/main" id="{8D15AB8F-9D6F-99D4-0BB8-1C42CE62F6A7}"/>
                </a:ext>
                <a:ext uri="{147F2762-F138-4A5C-976F-8EAC2B608ADB}">
                  <a16:predDERef xmlns:a16="http://schemas.microsoft.com/office/drawing/2014/main" pred="{D730C341-86E0-65D3-2726-F797882152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ck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05775" y="1314450"/>
              <a:ext cx="2505075" cy="2705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0.585637615739" createdVersion="8" refreshedVersion="8" minRefreshableVersion="3" recordCount="15" xr:uid="{934DB668-B70B-417F-9632-1C2DCBB711C6}">
  <cacheSource type="worksheet">
    <worksheetSource name="Table1"/>
  </cacheSource>
  <cacheFields count="12">
    <cacheField name="Product ID" numFmtId="0">
      <sharedItems/>
    </cacheField>
    <cacheField name="Product Name" numFmtId="0">
      <sharedItems/>
    </cacheField>
    <cacheField name="Category" numFmtId="0">
      <sharedItems count="3">
        <s v="Electronics"/>
        <s v="Furniture"/>
        <s v="Stationery"/>
      </sharedItems>
    </cacheField>
    <cacheField name="Warehouse" numFmtId="0">
      <sharedItems count="3">
        <s v="Chennai"/>
        <s v="Bangalore"/>
        <s v="Hyderabad"/>
      </sharedItems>
    </cacheField>
    <cacheField name="Stock Quantity" numFmtId="0">
      <sharedItems containsSemiMixedTypes="0" containsString="0" containsNumber="1" containsInteger="1" minValue="15" maxValue="500"/>
    </cacheField>
    <cacheField name="Reorder Level" numFmtId="0">
      <sharedItems containsSemiMixedTypes="0" containsString="0" containsNumber="1" containsInteger="1" minValue="8" maxValue="200"/>
    </cacheField>
    <cacheField name="Unit Cost" numFmtId="0">
      <sharedItems containsSemiMixedTypes="0" containsString="0" containsNumber="1" containsInteger="1" minValue="5" maxValue="40000"/>
    </cacheField>
    <cacheField name="Selling Price" numFmtId="0">
      <sharedItems containsSemiMixedTypes="0" containsString="0" containsNumber="1" containsInteger="1" minValue="10" maxValue="52000"/>
    </cacheField>
    <cacheField name="Supplier" numFmtId="0">
      <sharedItems/>
    </cacheField>
    <cacheField name="Stock Value" numFmtId="0">
      <sharedItems containsSemiMixedTypes="0" containsString="0" containsNumber="1" containsInteger="1" minValue="2500" maxValue="1800000"/>
    </cacheField>
    <cacheField name="Profit per unit" numFmtId="0">
      <sharedItems containsSemiMixedTypes="0" containsString="0" containsNumber="1" containsInteger="1" minValue="5" maxValue="12000"/>
    </cacheField>
    <cacheField name="Stock Status" numFmtId="0">
      <sharedItems count="1">
        <s v="ok"/>
      </sharedItems>
    </cacheField>
  </cacheFields>
  <extLst>
    <ext xmlns:x14="http://schemas.microsoft.com/office/spreadsheetml/2009/9/main" uri="{725AE2AE-9491-48be-B2B4-4EB974FC3084}">
      <x14:pivotCacheDefinition pivotCacheId="6885732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P001"/>
    <s v="Laptop"/>
    <x v="0"/>
    <x v="0"/>
    <n v="45"/>
    <n v="20"/>
    <n v="40000"/>
    <n v="52000"/>
    <s v="Dell India"/>
    <n v="1800000"/>
    <n v="12000"/>
    <x v="0"/>
  </r>
  <r>
    <s v="P002"/>
    <s v="Mouse"/>
    <x v="0"/>
    <x v="0"/>
    <n v="150"/>
    <n v="50"/>
    <n v="300"/>
    <n v="600"/>
    <s v="Logitech"/>
    <n v="45000"/>
    <n v="300"/>
    <x v="0"/>
  </r>
  <r>
    <s v="P003"/>
    <s v="Keyboard"/>
    <x v="0"/>
    <x v="1"/>
    <n v="120"/>
    <n v="40"/>
    <n v="800"/>
    <n v="1500"/>
    <s v="HP India"/>
    <n v="96000"/>
    <n v="700"/>
    <x v="0"/>
  </r>
  <r>
    <s v="P004"/>
    <s v="Office Chair"/>
    <x v="1"/>
    <x v="0"/>
    <n v="35"/>
    <n v="15"/>
    <n v="3500"/>
    <n v="5500"/>
    <s v="Godrej"/>
    <n v="122500"/>
    <n v="2000"/>
    <x v="0"/>
  </r>
  <r>
    <s v="P005"/>
    <s v="Desk"/>
    <x v="1"/>
    <x v="1"/>
    <n v="25"/>
    <n v="10"/>
    <n v="7000"/>
    <n v="10000"/>
    <s v="Ikea India"/>
    <n v="175000"/>
    <n v="3000"/>
    <x v="0"/>
  </r>
  <r>
    <s v="P006"/>
    <s v="Notebook"/>
    <x v="2"/>
    <x v="2"/>
    <n v="300"/>
    <n v="100"/>
    <n v="20"/>
    <n v="40"/>
    <s v="Classmate"/>
    <n v="6000"/>
    <n v="20"/>
    <x v="0"/>
  </r>
  <r>
    <s v="P007"/>
    <s v="Printer"/>
    <x v="0"/>
    <x v="2"/>
    <n v="20"/>
    <n v="10"/>
    <n v="9000"/>
    <n v="12000"/>
    <s v="Canon India"/>
    <n v="180000"/>
    <n v="3000"/>
    <x v="0"/>
  </r>
  <r>
    <s v="P008"/>
    <s v="Water Bottle"/>
    <x v="2"/>
    <x v="0"/>
    <n v="200"/>
    <n v="80"/>
    <n v="50"/>
    <n v="120"/>
    <s v="Cello"/>
    <n v="10000"/>
    <n v="70"/>
    <x v="0"/>
  </r>
  <r>
    <s v="P009"/>
    <s v="Monitor"/>
    <x v="0"/>
    <x v="1"/>
    <n v="60"/>
    <n v="25"/>
    <n v="8000"/>
    <n v="11000"/>
    <s v="Samsung"/>
    <n v="480000"/>
    <n v="3000"/>
    <x v="0"/>
  </r>
  <r>
    <s v="P010"/>
    <s v="Filing Cabinet"/>
    <x v="1"/>
    <x v="2"/>
    <n v="18"/>
    <n v="10"/>
    <n v="6000"/>
    <n v="8500"/>
    <s v="Godrej"/>
    <n v="108000"/>
    <n v="2500"/>
    <x v="0"/>
  </r>
  <r>
    <s v="P011"/>
    <s v="Pen"/>
    <x v="2"/>
    <x v="0"/>
    <n v="500"/>
    <n v="200"/>
    <n v="5"/>
    <n v="10"/>
    <s v="Classmate"/>
    <n v="2500"/>
    <n v="5"/>
    <x v="0"/>
  </r>
  <r>
    <s v="P012"/>
    <s v="Scanner"/>
    <x v="0"/>
    <x v="1"/>
    <n v="15"/>
    <n v="8"/>
    <n v="7000"/>
    <n v="9500"/>
    <s v="Canon India"/>
    <n v="105000"/>
    <n v="2500"/>
    <x v="0"/>
  </r>
  <r>
    <s v="P013"/>
    <s v="Whiteboard"/>
    <x v="2"/>
    <x v="2"/>
    <n v="40"/>
    <n v="15"/>
    <n v="1500"/>
    <n v="2500"/>
    <s v="Local Supplier"/>
    <n v="60000"/>
    <n v="1000"/>
    <x v="0"/>
  </r>
  <r>
    <s v="P014"/>
    <s v="Tablet"/>
    <x v="0"/>
    <x v="0"/>
    <n v="30"/>
    <n v="12"/>
    <n v="15000"/>
    <n v="20000"/>
    <s v="Samsung"/>
    <n v="450000"/>
    <n v="5000"/>
    <x v="0"/>
  </r>
  <r>
    <s v="P015"/>
    <s v="Bookshelf"/>
    <x v="1"/>
    <x v="1"/>
    <n v="22"/>
    <n v="10"/>
    <n v="5000"/>
    <n v="7500"/>
    <s v="Ikea India"/>
    <n v="110000"/>
    <n v="25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A8A967-5A00-4526-B316-3DAAAB1426E1}" name="PivotTable13" cacheId="19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F1:G5" firstHeaderRow="1" firstDataRow="1" firstDataCol="1"/>
  <pivotFields count="12"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tock Quantity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10B64-B04E-4107-859B-F7C23FD9216B}" name="PivotTable12" cacheId="19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C1:D5" firstHeaderRow="1" firstDataRow="1" firstDataCol="1"/>
  <pivotFields count="12"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h="1" x="1"/>
        <item x="0"/>
        <item h="1"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"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tock Quantity" fld="4" baseField="0" baseItem="0"/>
  </dataFields>
  <chartFormats count="5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B76A9-A8F8-4B0F-98EB-309CD9A73512}" name="PivotTable14" cacheId="19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I1:J5" firstHeaderRow="1" firstDataRow="1" firstDataCol="1"/>
  <pivotFields count="12"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tock Value" fld="9" baseField="0" baseItem="0"/>
  </dataFields>
  <formats count="1">
    <format dxfId="14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D8491EFF-5881-445B-B40F-5F9351B60789}" sourceName="Category">
  <pivotTables>
    <pivotTable tabId="2" name="PivotTable12"/>
  </pivotTables>
  <data>
    <tabular pivotCacheId="688573213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arehouse" xr10:uid="{45561872-B908-4617-8DFA-8CC7BD67A9F4}" sourceName="Warehouse">
  <pivotTables>
    <pivotTable tabId="2" name="PivotTable12"/>
  </pivotTables>
  <data>
    <tabular pivotCacheId="688573213">
      <items count="3">
        <i x="1"/>
        <i x="0" s="1"/>
        <i x="2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ock_Status" xr10:uid="{126A5FC2-7D11-449C-BDEE-76C78650C968}" sourceName="Stock Status">
  <pivotTables>
    <pivotTable tabId="2" name="PivotTable12"/>
  </pivotTables>
  <data>
    <tabular pivotCacheId="688573213">
      <items count="1"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19FE9AE4-BDE3-40C4-9835-621A1C6CBFCF}" cache="Slicer_Category" caption="Category" rowHeight="228600"/>
  <slicer name="Warehouse" xr10:uid="{4053625D-3E94-474E-8926-1C570B067C11}" cache="Slicer_Warehouse" caption="Warehouse" rowHeight="228600"/>
  <slicer name="Stock Status" xr10:uid="{7841D25D-8E49-4863-98C6-BE156308AE38}" cache="Slicer_Stock_Status" caption="Stock Status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CA0419-169B-43CE-B25F-EF0FBABE5F69}" name="Table1" displayName="Table1" ref="A1:L16" totalsRowShown="0" headerRowDxfId="13" dataDxfId="12">
  <autoFilter ref="A1:L16" xr:uid="{26CA0419-169B-43CE-B25F-EF0FBABE5F69}"/>
  <tableColumns count="12">
    <tableColumn id="1" xr3:uid="{BE4E766B-5F29-45A6-9329-7C8854871EC2}" name="Product ID" dataDxfId="11"/>
    <tableColumn id="2" xr3:uid="{E1254D99-C1E3-4C32-81EF-F0BAAF24250F}" name="Product Name" dataDxfId="10"/>
    <tableColumn id="3" xr3:uid="{CDC87DC5-BF99-4A26-A67C-EA2C815C81F1}" name="Category" dataDxfId="9"/>
    <tableColumn id="4" xr3:uid="{AB95A258-E395-467F-A93A-78251242C78A}" name="Warehouse" dataDxfId="8"/>
    <tableColumn id="5" xr3:uid="{0F047F5B-8EB5-45F5-9D47-E0E0EB8FF36F}" name="Stock Quantity" dataDxfId="7"/>
    <tableColumn id="6" xr3:uid="{BF91B4BD-1917-427B-8924-B00A22A26E14}" name="Reorder Level" dataDxfId="6"/>
    <tableColumn id="7" xr3:uid="{6E8ADBC8-DCF1-4102-9633-4AA367412899}" name="Unit Cost" dataDxfId="5"/>
    <tableColumn id="8" xr3:uid="{3B5FC580-9F84-4D1A-B41F-27856D42D473}" name="Selling Price" dataDxfId="4"/>
    <tableColumn id="9" xr3:uid="{0FB94BB8-3779-43E7-934C-5FCC660DBB5A}" name="Supplier" dataDxfId="3"/>
    <tableColumn id="10" xr3:uid="{7A37135A-5E67-4642-87BE-10A94667EB08}" name="Stock Value" dataDxfId="2">
      <calculatedColumnFormula>Table1[[#This Row],[Stock Quantity]]*Table1[[#This Row],[Unit Cost]]</calculatedColumnFormula>
    </tableColumn>
    <tableColumn id="11" xr3:uid="{751C51E8-EC5F-41AC-9D52-AD21358776ED}" name="Profit per unit" dataDxfId="1">
      <calculatedColumnFormula>Table1[[#This Row],[Selling Price]]-Table1[[#This Row],[Unit Cost]]</calculatedColumnFormula>
    </tableColumn>
    <tableColumn id="12" xr3:uid="{B615DC17-D5A8-4385-8B3F-02DD768B9988}" name="Stock Status" dataDxfId="0">
      <calculatedColumnFormula>IF(Table1[[#This Row],[Stock Quantity]]&lt;Table1[[#This Row],[Reorder Level]],"Low Stock","ok")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/>
  </sheetViews>
  <sheetFormatPr defaultRowHeight="15"/>
  <cols>
    <col min="1" max="1" width="12.5703125" bestFit="1" customWidth="1"/>
    <col min="2" max="2" width="15.85546875" bestFit="1" customWidth="1"/>
    <col min="3" max="3" width="11.140625" bestFit="1" customWidth="1"/>
    <col min="4" max="4" width="13.42578125" bestFit="1" customWidth="1"/>
    <col min="5" max="5" width="16.28515625" bestFit="1" customWidth="1"/>
    <col min="6" max="6" width="15.42578125" bestFit="1" customWidth="1"/>
    <col min="7" max="7" width="11.28515625" bestFit="1" customWidth="1"/>
    <col min="8" max="8" width="13.85546875" bestFit="1" customWidth="1"/>
    <col min="9" max="9" width="13" bestFit="1" customWidth="1"/>
    <col min="10" max="10" width="13.5703125" bestFit="1" customWidth="1"/>
    <col min="11" max="11" width="30.85546875" bestFit="1" customWidth="1"/>
    <col min="12" max="12" width="36.5703125" bestFit="1" customWidth="1"/>
  </cols>
  <sheetData>
    <row r="1" spans="1:12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>
        <v>45</v>
      </c>
      <c r="F2" s="1">
        <v>20</v>
      </c>
      <c r="G2" s="1">
        <v>40000</v>
      </c>
      <c r="H2" s="1">
        <v>52000</v>
      </c>
      <c r="I2" s="1" t="s">
        <v>16</v>
      </c>
      <c r="J2" s="1">
        <f>Table1[[#This Row],[Stock Quantity]]*Table1[[#This Row],[Unit Cost]]</f>
        <v>1800000</v>
      </c>
      <c r="K2" s="1">
        <f>Table1[[#This Row],[Selling Price]]-Table1[[#This Row],[Unit Cost]]</f>
        <v>12000</v>
      </c>
      <c r="L2" s="3" t="str">
        <f>IF(Table1[[#This Row],[Stock Quantity]]&lt;Table1[[#This Row],[Reorder Level]],"Low Stock","ok")</f>
        <v>ok</v>
      </c>
    </row>
    <row r="3" spans="1:12">
      <c r="A3" s="1" t="s">
        <v>17</v>
      </c>
      <c r="B3" s="1" t="s">
        <v>18</v>
      </c>
      <c r="C3" s="1" t="s">
        <v>14</v>
      </c>
      <c r="D3" s="1" t="s">
        <v>15</v>
      </c>
      <c r="E3" s="1">
        <v>150</v>
      </c>
      <c r="F3" s="1">
        <v>50</v>
      </c>
      <c r="G3" s="1">
        <v>300</v>
      </c>
      <c r="H3" s="1">
        <v>600</v>
      </c>
      <c r="I3" s="1" t="s">
        <v>19</v>
      </c>
      <c r="J3" s="1">
        <f>Table1[[#This Row],[Stock Quantity]]*Table1[[#This Row],[Unit Cost]]</f>
        <v>45000</v>
      </c>
      <c r="K3" s="1">
        <f>Table1[[#This Row],[Selling Price]]-Table1[[#This Row],[Unit Cost]]</f>
        <v>300</v>
      </c>
      <c r="L3" s="1" t="str">
        <f>IF(Table1[[#This Row],[Stock Quantity]]&lt;Table1[[#This Row],[Reorder Level]],"Low Stock","ok")</f>
        <v>ok</v>
      </c>
    </row>
    <row r="4" spans="1:12">
      <c r="A4" s="1" t="s">
        <v>20</v>
      </c>
      <c r="B4" s="1" t="s">
        <v>21</v>
      </c>
      <c r="C4" s="1" t="s">
        <v>14</v>
      </c>
      <c r="D4" s="1" t="s">
        <v>22</v>
      </c>
      <c r="E4" s="1">
        <v>120</v>
      </c>
      <c r="F4" s="1">
        <v>40</v>
      </c>
      <c r="G4" s="1">
        <v>800</v>
      </c>
      <c r="H4" s="1">
        <v>1500</v>
      </c>
      <c r="I4" s="1" t="s">
        <v>23</v>
      </c>
      <c r="J4" s="1">
        <f>Table1[[#This Row],[Stock Quantity]]*Table1[[#This Row],[Unit Cost]]</f>
        <v>96000</v>
      </c>
      <c r="K4" s="1">
        <f>Table1[[#This Row],[Selling Price]]-Table1[[#This Row],[Unit Cost]]</f>
        <v>700</v>
      </c>
      <c r="L4" s="1" t="str">
        <f>IF(Table1[[#This Row],[Stock Quantity]]&lt;Table1[[#This Row],[Reorder Level]],"Low Stock","ok")</f>
        <v>ok</v>
      </c>
    </row>
    <row r="5" spans="1:12">
      <c r="A5" s="1" t="s">
        <v>24</v>
      </c>
      <c r="B5" s="1" t="s">
        <v>25</v>
      </c>
      <c r="C5" s="1" t="s">
        <v>26</v>
      </c>
      <c r="D5" s="1" t="s">
        <v>15</v>
      </c>
      <c r="E5" s="1">
        <v>35</v>
      </c>
      <c r="F5" s="1">
        <v>15</v>
      </c>
      <c r="G5" s="1">
        <v>3500</v>
      </c>
      <c r="H5" s="1">
        <v>5500</v>
      </c>
      <c r="I5" s="1" t="s">
        <v>27</v>
      </c>
      <c r="J5" s="1">
        <f>Table1[[#This Row],[Stock Quantity]]*Table1[[#This Row],[Unit Cost]]</f>
        <v>122500</v>
      </c>
      <c r="K5" s="1">
        <f>Table1[[#This Row],[Selling Price]]-Table1[[#This Row],[Unit Cost]]</f>
        <v>2000</v>
      </c>
      <c r="L5" s="1" t="str">
        <f>IF(Table1[[#This Row],[Stock Quantity]]&lt;Table1[[#This Row],[Reorder Level]],"Low Stock","ok")</f>
        <v>ok</v>
      </c>
    </row>
    <row r="6" spans="1:12">
      <c r="A6" s="1" t="s">
        <v>28</v>
      </c>
      <c r="B6" s="1" t="s">
        <v>29</v>
      </c>
      <c r="C6" s="1" t="s">
        <v>26</v>
      </c>
      <c r="D6" s="1" t="s">
        <v>22</v>
      </c>
      <c r="E6" s="1">
        <v>25</v>
      </c>
      <c r="F6" s="1">
        <v>10</v>
      </c>
      <c r="G6" s="1">
        <v>7000</v>
      </c>
      <c r="H6" s="1">
        <v>10000</v>
      </c>
      <c r="I6" s="1" t="s">
        <v>30</v>
      </c>
      <c r="J6" s="1">
        <f>Table1[[#This Row],[Stock Quantity]]*Table1[[#This Row],[Unit Cost]]</f>
        <v>175000</v>
      </c>
      <c r="K6" s="1">
        <f>Table1[[#This Row],[Selling Price]]-Table1[[#This Row],[Unit Cost]]</f>
        <v>3000</v>
      </c>
      <c r="L6" s="1" t="str">
        <f>IF(Table1[[#This Row],[Stock Quantity]]&lt;Table1[[#This Row],[Reorder Level]],"Low Stock","ok")</f>
        <v>ok</v>
      </c>
    </row>
    <row r="7" spans="1:12">
      <c r="A7" s="1" t="s">
        <v>31</v>
      </c>
      <c r="B7" s="1" t="s">
        <v>32</v>
      </c>
      <c r="C7" s="1" t="s">
        <v>33</v>
      </c>
      <c r="D7" s="1" t="s">
        <v>34</v>
      </c>
      <c r="E7" s="1">
        <v>300</v>
      </c>
      <c r="F7" s="1">
        <v>100</v>
      </c>
      <c r="G7" s="1">
        <v>20</v>
      </c>
      <c r="H7" s="1">
        <v>40</v>
      </c>
      <c r="I7" s="1" t="s">
        <v>35</v>
      </c>
      <c r="J7" s="1">
        <f>Table1[[#This Row],[Stock Quantity]]*Table1[[#This Row],[Unit Cost]]</f>
        <v>6000</v>
      </c>
      <c r="K7" s="1">
        <f>Table1[[#This Row],[Selling Price]]-Table1[[#This Row],[Unit Cost]]</f>
        <v>20</v>
      </c>
      <c r="L7" s="1" t="str">
        <f>IF(Table1[[#This Row],[Stock Quantity]]&lt;Table1[[#This Row],[Reorder Level]],"Low Stock","ok")</f>
        <v>ok</v>
      </c>
    </row>
    <row r="8" spans="1:12">
      <c r="A8" s="1" t="s">
        <v>36</v>
      </c>
      <c r="B8" s="1" t="s">
        <v>37</v>
      </c>
      <c r="C8" s="1" t="s">
        <v>14</v>
      </c>
      <c r="D8" s="1" t="s">
        <v>34</v>
      </c>
      <c r="E8" s="1">
        <v>20</v>
      </c>
      <c r="F8" s="1">
        <v>10</v>
      </c>
      <c r="G8" s="1">
        <v>9000</v>
      </c>
      <c r="H8" s="1">
        <v>12000</v>
      </c>
      <c r="I8" s="1" t="s">
        <v>38</v>
      </c>
      <c r="J8" s="1">
        <f>Table1[[#This Row],[Stock Quantity]]*Table1[[#This Row],[Unit Cost]]</f>
        <v>180000</v>
      </c>
      <c r="K8" s="1">
        <f>Table1[[#This Row],[Selling Price]]-Table1[[#This Row],[Unit Cost]]</f>
        <v>3000</v>
      </c>
      <c r="L8" s="1" t="str">
        <f>IF(Table1[[#This Row],[Stock Quantity]]&lt;Table1[[#This Row],[Reorder Level]],"Low Stock","ok")</f>
        <v>ok</v>
      </c>
    </row>
    <row r="9" spans="1:12">
      <c r="A9" s="1" t="s">
        <v>39</v>
      </c>
      <c r="B9" s="1" t="s">
        <v>40</v>
      </c>
      <c r="C9" s="1" t="s">
        <v>33</v>
      </c>
      <c r="D9" s="1" t="s">
        <v>15</v>
      </c>
      <c r="E9" s="1">
        <v>200</v>
      </c>
      <c r="F9" s="1">
        <v>80</v>
      </c>
      <c r="G9" s="1">
        <v>50</v>
      </c>
      <c r="H9" s="1">
        <v>120</v>
      </c>
      <c r="I9" s="1" t="s">
        <v>41</v>
      </c>
      <c r="J9" s="1">
        <f>Table1[[#This Row],[Stock Quantity]]*Table1[[#This Row],[Unit Cost]]</f>
        <v>10000</v>
      </c>
      <c r="K9" s="1">
        <f>Table1[[#This Row],[Selling Price]]-Table1[[#This Row],[Unit Cost]]</f>
        <v>70</v>
      </c>
      <c r="L9" s="1" t="str">
        <f>IF(Table1[[#This Row],[Stock Quantity]]&lt;Table1[[#This Row],[Reorder Level]],"Low Stock","ok")</f>
        <v>ok</v>
      </c>
    </row>
    <row r="10" spans="1:12">
      <c r="A10" s="1" t="s">
        <v>42</v>
      </c>
      <c r="B10" s="1" t="s">
        <v>43</v>
      </c>
      <c r="C10" s="1" t="s">
        <v>14</v>
      </c>
      <c r="D10" s="1" t="s">
        <v>22</v>
      </c>
      <c r="E10" s="1">
        <v>60</v>
      </c>
      <c r="F10" s="1">
        <v>25</v>
      </c>
      <c r="G10" s="1">
        <v>8000</v>
      </c>
      <c r="H10" s="1">
        <v>11000</v>
      </c>
      <c r="I10" s="1" t="s">
        <v>44</v>
      </c>
      <c r="J10" s="1">
        <f>Table1[[#This Row],[Stock Quantity]]*Table1[[#This Row],[Unit Cost]]</f>
        <v>480000</v>
      </c>
      <c r="K10" s="1">
        <f>Table1[[#This Row],[Selling Price]]-Table1[[#This Row],[Unit Cost]]</f>
        <v>3000</v>
      </c>
      <c r="L10" s="1" t="str">
        <f>IF(Table1[[#This Row],[Stock Quantity]]&lt;Table1[[#This Row],[Reorder Level]],"Low Stock","ok")</f>
        <v>ok</v>
      </c>
    </row>
    <row r="11" spans="1:12">
      <c r="A11" s="1" t="s">
        <v>45</v>
      </c>
      <c r="B11" s="1" t="s">
        <v>46</v>
      </c>
      <c r="C11" s="1" t="s">
        <v>26</v>
      </c>
      <c r="D11" s="1" t="s">
        <v>34</v>
      </c>
      <c r="E11" s="1">
        <v>18</v>
      </c>
      <c r="F11" s="1">
        <v>10</v>
      </c>
      <c r="G11" s="1">
        <v>6000</v>
      </c>
      <c r="H11" s="1">
        <v>8500</v>
      </c>
      <c r="I11" s="1" t="s">
        <v>27</v>
      </c>
      <c r="J11" s="1">
        <f>Table1[[#This Row],[Stock Quantity]]*Table1[[#This Row],[Unit Cost]]</f>
        <v>108000</v>
      </c>
      <c r="K11" s="1">
        <f>Table1[[#This Row],[Selling Price]]-Table1[[#This Row],[Unit Cost]]</f>
        <v>2500</v>
      </c>
      <c r="L11" s="1" t="str">
        <f>IF(Table1[[#This Row],[Stock Quantity]]&lt;Table1[[#This Row],[Reorder Level]],"Low Stock","ok")</f>
        <v>ok</v>
      </c>
    </row>
    <row r="12" spans="1:12">
      <c r="A12" s="1" t="s">
        <v>47</v>
      </c>
      <c r="B12" s="1" t="s">
        <v>48</v>
      </c>
      <c r="C12" s="1" t="s">
        <v>33</v>
      </c>
      <c r="D12" s="1" t="s">
        <v>15</v>
      </c>
      <c r="E12" s="1">
        <v>500</v>
      </c>
      <c r="F12" s="1">
        <v>200</v>
      </c>
      <c r="G12" s="1">
        <v>5</v>
      </c>
      <c r="H12" s="1">
        <v>10</v>
      </c>
      <c r="I12" s="1" t="s">
        <v>35</v>
      </c>
      <c r="J12" s="1">
        <f>Table1[[#This Row],[Stock Quantity]]*Table1[[#This Row],[Unit Cost]]</f>
        <v>2500</v>
      </c>
      <c r="K12" s="1">
        <f>Table1[[#This Row],[Selling Price]]-Table1[[#This Row],[Unit Cost]]</f>
        <v>5</v>
      </c>
      <c r="L12" s="1" t="str">
        <f>IF(Table1[[#This Row],[Stock Quantity]]&lt;Table1[[#This Row],[Reorder Level]],"Low Stock","ok")</f>
        <v>ok</v>
      </c>
    </row>
    <row r="13" spans="1:12">
      <c r="A13" s="1" t="s">
        <v>49</v>
      </c>
      <c r="B13" s="1" t="s">
        <v>50</v>
      </c>
      <c r="C13" s="1" t="s">
        <v>14</v>
      </c>
      <c r="D13" s="1" t="s">
        <v>22</v>
      </c>
      <c r="E13" s="1">
        <v>15</v>
      </c>
      <c r="F13" s="1">
        <v>8</v>
      </c>
      <c r="G13" s="1">
        <v>7000</v>
      </c>
      <c r="H13" s="1">
        <v>9500</v>
      </c>
      <c r="I13" s="1" t="s">
        <v>38</v>
      </c>
      <c r="J13" s="1">
        <f>Table1[[#This Row],[Stock Quantity]]*Table1[[#This Row],[Unit Cost]]</f>
        <v>105000</v>
      </c>
      <c r="K13" s="1">
        <f>Table1[[#This Row],[Selling Price]]-Table1[[#This Row],[Unit Cost]]</f>
        <v>2500</v>
      </c>
      <c r="L13" s="1" t="str">
        <f>IF(Table1[[#This Row],[Stock Quantity]]&lt;Table1[[#This Row],[Reorder Level]],"Low Stock","ok")</f>
        <v>ok</v>
      </c>
    </row>
    <row r="14" spans="1:12">
      <c r="A14" s="1" t="s">
        <v>51</v>
      </c>
      <c r="B14" s="1" t="s">
        <v>52</v>
      </c>
      <c r="C14" s="1" t="s">
        <v>33</v>
      </c>
      <c r="D14" s="1" t="s">
        <v>34</v>
      </c>
      <c r="E14" s="1">
        <v>40</v>
      </c>
      <c r="F14" s="1">
        <v>15</v>
      </c>
      <c r="G14" s="1">
        <v>1500</v>
      </c>
      <c r="H14" s="1">
        <v>2500</v>
      </c>
      <c r="I14" s="1" t="s">
        <v>53</v>
      </c>
      <c r="J14" s="1">
        <f>Table1[[#This Row],[Stock Quantity]]*Table1[[#This Row],[Unit Cost]]</f>
        <v>60000</v>
      </c>
      <c r="K14" s="1">
        <f>Table1[[#This Row],[Selling Price]]-Table1[[#This Row],[Unit Cost]]</f>
        <v>1000</v>
      </c>
      <c r="L14" s="1" t="str">
        <f>IF(Table1[[#This Row],[Stock Quantity]]&lt;Table1[[#This Row],[Reorder Level]],"Low Stock","ok")</f>
        <v>ok</v>
      </c>
    </row>
    <row r="15" spans="1:12">
      <c r="A15" s="1" t="s">
        <v>54</v>
      </c>
      <c r="B15" s="1" t="s">
        <v>55</v>
      </c>
      <c r="C15" s="1" t="s">
        <v>14</v>
      </c>
      <c r="D15" s="1" t="s">
        <v>15</v>
      </c>
      <c r="E15" s="1">
        <v>30</v>
      </c>
      <c r="F15" s="1">
        <v>12</v>
      </c>
      <c r="G15" s="1">
        <v>15000</v>
      </c>
      <c r="H15" s="1">
        <v>20000</v>
      </c>
      <c r="I15" s="1" t="s">
        <v>44</v>
      </c>
      <c r="J15" s="1">
        <f>Table1[[#This Row],[Stock Quantity]]*Table1[[#This Row],[Unit Cost]]</f>
        <v>450000</v>
      </c>
      <c r="K15" s="1">
        <f>Table1[[#This Row],[Selling Price]]-Table1[[#This Row],[Unit Cost]]</f>
        <v>5000</v>
      </c>
      <c r="L15" s="1" t="str">
        <f>IF(Table1[[#This Row],[Stock Quantity]]&lt;Table1[[#This Row],[Reorder Level]],"Low Stock","ok")</f>
        <v>ok</v>
      </c>
    </row>
    <row r="16" spans="1:12">
      <c r="A16" s="1" t="s">
        <v>56</v>
      </c>
      <c r="B16" s="1" t="s">
        <v>57</v>
      </c>
      <c r="C16" s="1" t="s">
        <v>26</v>
      </c>
      <c r="D16" s="1" t="s">
        <v>22</v>
      </c>
      <c r="E16" s="1">
        <v>22</v>
      </c>
      <c r="F16" s="1">
        <v>10</v>
      </c>
      <c r="G16" s="1">
        <v>5000</v>
      </c>
      <c r="H16" s="1">
        <v>7500</v>
      </c>
      <c r="I16" s="1" t="s">
        <v>30</v>
      </c>
      <c r="J16" s="1">
        <f>Table1[[#This Row],[Stock Quantity]]*Table1[[#This Row],[Unit Cost]]</f>
        <v>110000</v>
      </c>
      <c r="K16" s="1">
        <f>Table1[[#This Row],[Selling Price]]-Table1[[#This Row],[Unit Cost]]</f>
        <v>2500</v>
      </c>
      <c r="L16" s="1" t="str">
        <f>IF(Table1[[#This Row],[Stock Quantity]]&lt;Table1[[#This Row],[Reorder Level]],"Low Stock","ok")</f>
        <v>ok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057A-15C7-4A7B-9CB0-148F074C177B}">
  <sheetPr>
    <pageSetUpPr fitToPage="1"/>
  </sheetPr>
  <dimension ref="C1:J5"/>
  <sheetViews>
    <sheetView showGridLines="0" tabSelected="1" topLeftCell="B1" workbookViewId="0">
      <selection activeCell="M19" sqref="M19"/>
    </sheetView>
  </sheetViews>
  <sheetFormatPr defaultRowHeight="15"/>
  <cols>
    <col min="1" max="1" width="14.28515625" bestFit="1" customWidth="1"/>
    <col min="2" max="2" width="20.7109375" bestFit="1" customWidth="1"/>
    <col min="3" max="3" width="12" bestFit="1" customWidth="1"/>
    <col min="4" max="4" width="20.7109375" bestFit="1" customWidth="1"/>
    <col min="6" max="6" width="14.28515625" bestFit="1" customWidth="1"/>
    <col min="7" max="7" width="20.7109375" bestFit="1" customWidth="1"/>
    <col min="8" max="8" width="6.28515625" customWidth="1"/>
    <col min="9" max="9" width="12" bestFit="1" customWidth="1"/>
    <col min="10" max="10" width="18" customWidth="1"/>
  </cols>
  <sheetData>
    <row r="1" spans="3:10">
      <c r="C1" s="4" t="s">
        <v>2</v>
      </c>
      <c r="D1" t="s">
        <v>58</v>
      </c>
      <c r="F1" s="4" t="s">
        <v>3</v>
      </c>
      <c r="G1" t="s">
        <v>58</v>
      </c>
      <c r="H1" s="6" t="s">
        <v>59</v>
      </c>
      <c r="I1" s="4" t="s">
        <v>2</v>
      </c>
      <c r="J1" s="7" t="s">
        <v>60</v>
      </c>
    </row>
    <row r="2" spans="3:10">
      <c r="C2" t="s">
        <v>14</v>
      </c>
      <c r="D2" s="5">
        <v>225</v>
      </c>
      <c r="F2" t="s">
        <v>22</v>
      </c>
      <c r="G2" s="5">
        <v>242</v>
      </c>
      <c r="I2" t="s">
        <v>14</v>
      </c>
      <c r="J2" s="5">
        <v>3156000</v>
      </c>
    </row>
    <row r="3" spans="3:10">
      <c r="C3" t="s">
        <v>26</v>
      </c>
      <c r="D3" s="5">
        <v>35</v>
      </c>
      <c r="F3" t="s">
        <v>15</v>
      </c>
      <c r="G3" s="5">
        <v>960</v>
      </c>
      <c r="I3" t="s">
        <v>26</v>
      </c>
      <c r="J3" s="5">
        <v>515500</v>
      </c>
    </row>
    <row r="4" spans="3:10">
      <c r="C4" t="s">
        <v>33</v>
      </c>
      <c r="D4" s="5">
        <v>700</v>
      </c>
      <c r="F4" t="s">
        <v>34</v>
      </c>
      <c r="G4" s="5">
        <v>378</v>
      </c>
      <c r="I4" t="s">
        <v>33</v>
      </c>
      <c r="J4" s="5">
        <v>78500</v>
      </c>
    </row>
    <row r="5" spans="3:10">
      <c r="C5" t="s">
        <v>61</v>
      </c>
      <c r="D5" s="5">
        <v>960</v>
      </c>
      <c r="F5" t="s">
        <v>61</v>
      </c>
      <c r="G5" s="5">
        <v>1580</v>
      </c>
      <c r="I5" t="s">
        <v>61</v>
      </c>
      <c r="J5" s="5">
        <v>3750000</v>
      </c>
    </row>
  </sheetData>
  <pageMargins left="0.7" right="0.7" top="0.75" bottom="0.75" header="0.3" footer="0.3"/>
  <pageSetup paperSize="8" fitToHeight="0" orientation="landscape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2026-02-16T17:12:14Z</dcterms:created>
  <dcterms:modified xsi:type="dcterms:W3CDTF">2026-02-17T09:12:59Z</dcterms:modified>
  <cp:category/>
  <cp:contentStatus/>
</cp:coreProperties>
</file>